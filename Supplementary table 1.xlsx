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Projects and data\Projects for papers\Jeffs museum fish work\Manuscript\"/>
    </mc:Choice>
  </mc:AlternateContent>
  <xr:revisionPtr revIDLastSave="0" documentId="13_ncr:1_{BF981B9C-A94D-4161-B8EE-7CD6A372F265}" xr6:coauthVersionLast="47" xr6:coauthVersionMax="47" xr10:uidLastSave="{00000000-0000-0000-0000-000000000000}"/>
  <bookViews>
    <workbookView xWindow="-98" yWindow="-98" windowWidth="19396" windowHeight="11475" xr2:uid="{431CE0A4-235F-4063-9377-D77893E97E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9" i="1" l="1"/>
  <c r="O10" i="1"/>
  <c r="O11" i="1"/>
  <c r="O18" i="1"/>
  <c r="O19" i="1"/>
  <c r="O20" i="1"/>
  <c r="O21" i="1"/>
  <c r="O22" i="1"/>
  <c r="O23" i="1"/>
  <c r="O24" i="1"/>
  <c r="O25" i="1"/>
  <c r="O3" i="1"/>
  <c r="O4" i="1"/>
  <c r="O5" i="1"/>
  <c r="O6" i="1"/>
  <c r="O7" i="1"/>
  <c r="O8" i="1"/>
  <c r="O12" i="1"/>
  <c r="O13" i="1"/>
  <c r="O14" i="1"/>
  <c r="O15" i="1"/>
  <c r="O16" i="1"/>
  <c r="O17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2" i="1"/>
  <c r="K3" i="1"/>
  <c r="L3" i="1" s="1"/>
  <c r="K4" i="1"/>
  <c r="L4" i="1" s="1"/>
  <c r="K5" i="1"/>
  <c r="L5" i="1" s="1"/>
  <c r="K6" i="1"/>
  <c r="L6" i="1" s="1"/>
  <c r="K7" i="1"/>
  <c r="L7" i="1" s="1"/>
  <c r="K8" i="1"/>
  <c r="L8" i="1" s="1"/>
  <c r="K9" i="1"/>
  <c r="L9" i="1" s="1"/>
  <c r="K12" i="1"/>
  <c r="L12" i="1" s="1"/>
  <c r="K13" i="1"/>
  <c r="L13" i="1" s="1"/>
  <c r="K14" i="1"/>
  <c r="L14" i="1" s="1"/>
  <c r="K15" i="1"/>
  <c r="L15" i="1" s="1"/>
  <c r="K16" i="1"/>
  <c r="L16" i="1" s="1"/>
  <c r="K17" i="1"/>
  <c r="L17" i="1" s="1"/>
  <c r="K26" i="1"/>
  <c r="L26" i="1" s="1"/>
  <c r="K27" i="1"/>
  <c r="L27" i="1" s="1"/>
  <c r="K28" i="1"/>
  <c r="L28" i="1" s="1"/>
  <c r="K29" i="1"/>
  <c r="L29" i="1" s="1"/>
  <c r="K30" i="1"/>
  <c r="L30" i="1" s="1"/>
  <c r="K31" i="1"/>
  <c r="L31" i="1" s="1"/>
  <c r="K32" i="1"/>
  <c r="L32" i="1" s="1"/>
  <c r="K33" i="1"/>
  <c r="L33" i="1" s="1"/>
  <c r="K34" i="1"/>
  <c r="L34" i="1" s="1"/>
  <c r="K35" i="1"/>
  <c r="L35" i="1" s="1"/>
  <c r="K36" i="1"/>
  <c r="L36" i="1" s="1"/>
  <c r="K37" i="1"/>
  <c r="L37" i="1" s="1"/>
  <c r="K38" i="1"/>
  <c r="L38" i="1" s="1"/>
  <c r="K39" i="1"/>
  <c r="L39" i="1" s="1"/>
  <c r="K40" i="1"/>
  <c r="L40" i="1" s="1"/>
  <c r="K41" i="1"/>
  <c r="L41" i="1" s="1"/>
  <c r="K2" i="1"/>
  <c r="L2" i="1" s="1"/>
  <c r="S3" i="1"/>
</calcChain>
</file>

<file path=xl/sharedStrings.xml><?xml version="1.0" encoding="utf-8"?>
<sst xmlns="http://schemas.openxmlformats.org/spreadsheetml/2006/main" count="122" uniqueCount="28">
  <si>
    <t>Immersion Time</t>
  </si>
  <si>
    <t>Fish #</t>
  </si>
  <si>
    <t>Tissue weight (mg) for DNA extraction</t>
  </si>
  <si>
    <t>Tube # for Filtering/DNA analysis</t>
  </si>
  <si>
    <t>% weight lost</t>
  </si>
  <si>
    <t>nose-tail length lost</t>
  </si>
  <si>
    <t>eye-fork length lost</t>
  </si>
  <si>
    <t>% length lost</t>
  </si>
  <si>
    <t>Qubit Filter (ng/uL)</t>
  </si>
  <si>
    <t>Qubit TIssue (ng/uL) normalized by fin clip weight only</t>
  </si>
  <si>
    <t>4 weeks</t>
  </si>
  <si>
    <t>room</t>
  </si>
  <si>
    <t>N/A</t>
  </si>
  <si>
    <t>fridge</t>
  </si>
  <si>
    <t>2 weeks</t>
  </si>
  <si>
    <t>1 week</t>
  </si>
  <si>
    <t>72h</t>
  </si>
  <si>
    <t>24h</t>
  </si>
  <si>
    <t>X</t>
  </si>
  <si>
    <t>weight (g) before fixation</t>
  </si>
  <si>
    <t>nose tail length (cm) before fixation</t>
  </si>
  <si>
    <t>eye fork length (cm) before fixation</t>
  </si>
  <si>
    <t>temp treatment</t>
  </si>
  <si>
    <t>weight (g) after fixation</t>
  </si>
  <si>
    <t>nose tail length (cm) after fixation</t>
  </si>
  <si>
    <t>eye fork length (cm) after fixation</t>
  </si>
  <si>
    <t>Total weight loss from fixation (g)</t>
  </si>
  <si>
    <t>Qubit Tissue (ng/uL)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</si>
</sst>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ptos Narrow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/>
    <xf numFmtId="2" fontId="4" fillId="0" borderId="0" xfId="0" applyNumberFormat="1" applyFont="1"/>
    <xf numFmtId="0" fontId="4" fillId="0" borderId="0" xfId="0" applyFont="1"/>
    <xf numFmtId="0" fontId="1" fillId="0" borderId="0" xfId="0" applyFont="1" applyAlignment="1">
      <alignment wrapText="1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wrapText="1"/>
    </xf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ED664-01FA-4FDA-B66B-9909A92B673F}">
  <dimension ref="A1:T43"/>
  <sheetViews>
    <sheetView tabSelected="1" topLeftCell="F4" workbookViewId="0">
      <selection activeCell="R38" sqref="R38"/>
    </sheetView>
  </sheetViews>
  <sheetFormatPr defaultRowHeight="14.25" x14ac:dyDescent="0.45"/>
  <cols>
    <col min="15" max="15" width="9.265625" bestFit="1" customWidth="1"/>
  </cols>
  <sheetData>
    <row r="1" spans="1:20" ht="105.4" x14ac:dyDescent="0.45">
      <c r="A1" s="1" t="s">
        <v>0</v>
      </c>
      <c r="B1" s="1" t="s">
        <v>1</v>
      </c>
      <c r="C1" s="9" t="s">
        <v>19</v>
      </c>
      <c r="D1" s="9" t="s">
        <v>20</v>
      </c>
      <c r="E1" s="9" t="s">
        <v>21</v>
      </c>
      <c r="F1" s="9" t="s">
        <v>22</v>
      </c>
      <c r="G1" s="10" t="s">
        <v>23</v>
      </c>
      <c r="H1" s="9" t="s">
        <v>24</v>
      </c>
      <c r="I1" s="9" t="s">
        <v>25</v>
      </c>
      <c r="J1" s="8" t="s">
        <v>3</v>
      </c>
      <c r="K1" s="8" t="s">
        <v>26</v>
      </c>
      <c r="L1" s="8" t="s">
        <v>4</v>
      </c>
      <c r="M1" s="8" t="s">
        <v>5</v>
      </c>
      <c r="N1" s="8" t="s">
        <v>6</v>
      </c>
      <c r="O1" s="8" t="s">
        <v>7</v>
      </c>
      <c r="P1" s="2" t="s">
        <v>3</v>
      </c>
      <c r="Q1" s="8" t="s">
        <v>2</v>
      </c>
      <c r="R1" s="9" t="s">
        <v>27</v>
      </c>
      <c r="S1" s="9" t="s">
        <v>8</v>
      </c>
      <c r="T1" s="9" t="s">
        <v>9</v>
      </c>
    </row>
    <row r="2" spans="1:20" x14ac:dyDescent="0.45">
      <c r="A2" s="3" t="s">
        <v>10</v>
      </c>
      <c r="B2" s="3">
        <v>1</v>
      </c>
      <c r="C2" s="3">
        <v>6.43</v>
      </c>
      <c r="D2" s="3">
        <v>9</v>
      </c>
      <c r="E2" s="3">
        <v>7.4</v>
      </c>
      <c r="F2" s="3" t="s">
        <v>11</v>
      </c>
      <c r="G2" s="4">
        <v>3.98</v>
      </c>
      <c r="H2" s="4">
        <v>8.1999999999999993</v>
      </c>
      <c r="I2" s="4">
        <v>6.6</v>
      </c>
      <c r="J2">
        <v>4</v>
      </c>
      <c r="K2">
        <f t="shared" ref="K2:K9" si="0">C2-G2</f>
        <v>2.4499999999999997</v>
      </c>
      <c r="L2" s="12">
        <f t="shared" ref="L2:L9" si="1">K2/C2*100</f>
        <v>38.102643856920679</v>
      </c>
      <c r="M2">
        <v>0.80000000000000104</v>
      </c>
      <c r="N2">
        <v>0.80000000000000071</v>
      </c>
      <c r="O2" s="11">
        <f t="shared" ref="O2:O41" si="2">M2/D2*100</f>
        <v>8.8888888888888999</v>
      </c>
      <c r="P2" s="4">
        <v>4</v>
      </c>
      <c r="Q2">
        <v>11.6</v>
      </c>
      <c r="R2" s="3">
        <v>17.3</v>
      </c>
      <c r="S2" s="3">
        <v>3.52</v>
      </c>
      <c r="T2" s="6">
        <v>14.913793103448276</v>
      </c>
    </row>
    <row r="3" spans="1:20" x14ac:dyDescent="0.45">
      <c r="A3" s="3" t="s">
        <v>10</v>
      </c>
      <c r="B3" s="3">
        <v>2</v>
      </c>
      <c r="C3" s="3">
        <v>4.07</v>
      </c>
      <c r="D3" s="3">
        <v>7.8</v>
      </c>
      <c r="E3" s="3">
        <v>6.6</v>
      </c>
      <c r="F3" s="3" t="s">
        <v>11</v>
      </c>
      <c r="G3" s="4">
        <v>2.52</v>
      </c>
      <c r="H3" s="4">
        <v>7.4</v>
      </c>
      <c r="I3" s="4">
        <v>6.4</v>
      </c>
      <c r="J3" t="s">
        <v>18</v>
      </c>
      <c r="K3">
        <f t="shared" si="0"/>
        <v>1.5500000000000003</v>
      </c>
      <c r="L3" s="12">
        <f t="shared" si="1"/>
        <v>38.083538083538087</v>
      </c>
      <c r="M3">
        <v>0.39999999999999947</v>
      </c>
      <c r="N3">
        <v>0.19999999999999929</v>
      </c>
      <c r="O3" s="11">
        <f t="shared" si="2"/>
        <v>5.1282051282051215</v>
      </c>
      <c r="P3" s="5" t="s">
        <v>18</v>
      </c>
      <c r="Q3">
        <v>11.4</v>
      </c>
      <c r="R3" s="3">
        <v>29.6</v>
      </c>
      <c r="S3" s="3">
        <f>1.14</f>
        <v>1.1399999999999999</v>
      </c>
      <c r="T3" s="6">
        <v>25.964912280701753</v>
      </c>
    </row>
    <row r="4" spans="1:20" x14ac:dyDescent="0.45">
      <c r="A4" s="3" t="s">
        <v>10</v>
      </c>
      <c r="B4" s="3">
        <v>3</v>
      </c>
      <c r="C4" s="3">
        <v>4.5999999999999996</v>
      </c>
      <c r="D4" s="3">
        <v>7.5</v>
      </c>
      <c r="E4" s="3">
        <v>6.7</v>
      </c>
      <c r="F4" s="3" t="s">
        <v>11</v>
      </c>
      <c r="G4" s="4">
        <v>2.72</v>
      </c>
      <c r="H4" s="4">
        <v>7.4</v>
      </c>
      <c r="I4" s="4">
        <v>6.2</v>
      </c>
      <c r="J4">
        <v>17</v>
      </c>
      <c r="K4">
        <f t="shared" si="0"/>
        <v>1.8799999999999994</v>
      </c>
      <c r="L4" s="12">
        <f t="shared" si="1"/>
        <v>40.869565217391298</v>
      </c>
      <c r="M4">
        <v>9.9999999999999645E-2</v>
      </c>
      <c r="N4">
        <v>0.5</v>
      </c>
      <c r="O4" s="11">
        <f t="shared" si="2"/>
        <v>1.3333333333333286</v>
      </c>
      <c r="P4" s="4">
        <v>17</v>
      </c>
      <c r="Q4">
        <v>12.4</v>
      </c>
      <c r="R4" s="3">
        <v>36.6</v>
      </c>
      <c r="S4" s="3">
        <v>58.8</v>
      </c>
      <c r="T4" s="6">
        <v>29.516129032258064</v>
      </c>
    </row>
    <row r="5" spans="1:20" x14ac:dyDescent="0.45">
      <c r="A5" s="3" t="s">
        <v>10</v>
      </c>
      <c r="B5" s="3">
        <v>4</v>
      </c>
      <c r="C5" s="3">
        <v>5.75</v>
      </c>
      <c r="D5" s="3">
        <v>8.1999999999999993</v>
      </c>
      <c r="E5" s="3">
        <v>7.4</v>
      </c>
      <c r="F5" s="3" t="s">
        <v>11</v>
      </c>
      <c r="G5" s="4">
        <v>3.36</v>
      </c>
      <c r="H5" s="4">
        <v>8.4</v>
      </c>
      <c r="I5" s="4">
        <v>7.1</v>
      </c>
      <c r="J5">
        <v>6</v>
      </c>
      <c r="K5">
        <f t="shared" si="0"/>
        <v>2.39</v>
      </c>
      <c r="L5" s="12">
        <f t="shared" si="1"/>
        <v>41.565217391304351</v>
      </c>
      <c r="M5">
        <v>-0.20000000000000107</v>
      </c>
      <c r="N5">
        <v>0.30000000000000071</v>
      </c>
      <c r="O5" s="11">
        <f t="shared" si="2"/>
        <v>-2.4390243902439157</v>
      </c>
      <c r="P5" s="4">
        <v>6</v>
      </c>
      <c r="Q5">
        <v>11.4</v>
      </c>
      <c r="R5" s="3">
        <v>43</v>
      </c>
      <c r="S5" s="3">
        <v>36.6</v>
      </c>
      <c r="T5" s="6">
        <v>37.719298245614034</v>
      </c>
    </row>
    <row r="6" spans="1:20" x14ac:dyDescent="0.45">
      <c r="A6" s="3" t="s">
        <v>10</v>
      </c>
      <c r="B6" s="3">
        <v>5</v>
      </c>
      <c r="C6" s="3">
        <v>5.39</v>
      </c>
      <c r="D6" s="3">
        <v>8.1</v>
      </c>
      <c r="E6" s="3">
        <v>7.4</v>
      </c>
      <c r="F6" s="3" t="s">
        <v>13</v>
      </c>
      <c r="G6" s="4">
        <v>3.38</v>
      </c>
      <c r="H6" s="4">
        <v>8.1999999999999993</v>
      </c>
      <c r="I6" s="4">
        <v>6.8</v>
      </c>
      <c r="J6">
        <v>5</v>
      </c>
      <c r="K6">
        <f t="shared" si="0"/>
        <v>2.0099999999999998</v>
      </c>
      <c r="L6" s="12">
        <f t="shared" si="1"/>
        <v>37.291280148423006</v>
      </c>
      <c r="M6">
        <v>-9.9999999999999645E-2</v>
      </c>
      <c r="N6">
        <v>0.60000000000000053</v>
      </c>
      <c r="O6" s="11">
        <f t="shared" si="2"/>
        <v>-1.2345679012345634</v>
      </c>
      <c r="P6" s="4">
        <v>5</v>
      </c>
      <c r="Q6">
        <v>16</v>
      </c>
      <c r="R6" s="3">
        <v>50</v>
      </c>
      <c r="S6" s="3">
        <v>1.27</v>
      </c>
      <c r="T6" s="6">
        <v>31.25</v>
      </c>
    </row>
    <row r="7" spans="1:20" x14ac:dyDescent="0.45">
      <c r="A7" s="3" t="s">
        <v>10</v>
      </c>
      <c r="B7" s="3">
        <v>6</v>
      </c>
      <c r="C7" s="3">
        <v>3.91</v>
      </c>
      <c r="D7" s="3">
        <v>7.7</v>
      </c>
      <c r="E7" s="3">
        <v>6.6</v>
      </c>
      <c r="F7" s="3" t="s">
        <v>13</v>
      </c>
      <c r="G7" s="4">
        <v>2.4</v>
      </c>
      <c r="H7" s="4">
        <v>7.8</v>
      </c>
      <c r="I7" s="4">
        <v>6.4</v>
      </c>
      <c r="J7">
        <v>8</v>
      </c>
      <c r="K7">
        <f t="shared" si="0"/>
        <v>1.5100000000000002</v>
      </c>
      <c r="L7" s="12">
        <f t="shared" si="1"/>
        <v>38.618925831202048</v>
      </c>
      <c r="M7">
        <v>-9.9999999999999645E-2</v>
      </c>
      <c r="N7">
        <v>0.19999999999999929</v>
      </c>
      <c r="O7" s="11">
        <f t="shared" si="2"/>
        <v>-1.298701298701294</v>
      </c>
      <c r="P7" s="4">
        <v>8</v>
      </c>
      <c r="Q7">
        <v>10.5</v>
      </c>
      <c r="R7" s="3">
        <v>51</v>
      </c>
      <c r="S7" s="3">
        <v>11.4</v>
      </c>
      <c r="T7" s="6">
        <v>48.571428571428569</v>
      </c>
    </row>
    <row r="8" spans="1:20" x14ac:dyDescent="0.45">
      <c r="A8" s="3" t="s">
        <v>10</v>
      </c>
      <c r="B8" s="3">
        <v>7</v>
      </c>
      <c r="C8" s="3">
        <v>8.4499999999999993</v>
      </c>
      <c r="D8" s="3">
        <v>9.8000000000000007</v>
      </c>
      <c r="E8" s="3">
        <v>8.8000000000000007</v>
      </c>
      <c r="F8" s="3" t="s">
        <v>13</v>
      </c>
      <c r="G8" s="4">
        <v>5.55</v>
      </c>
      <c r="H8" s="4">
        <v>9.1</v>
      </c>
      <c r="I8" s="4">
        <v>7.8</v>
      </c>
      <c r="J8">
        <v>29</v>
      </c>
      <c r="K8">
        <f t="shared" si="0"/>
        <v>2.8999999999999995</v>
      </c>
      <c r="L8" s="12">
        <f t="shared" si="1"/>
        <v>34.319526627218934</v>
      </c>
      <c r="M8">
        <v>0.70000000000000107</v>
      </c>
      <c r="N8">
        <v>1.0000000000000009</v>
      </c>
      <c r="O8" s="11">
        <f t="shared" si="2"/>
        <v>7.1428571428571539</v>
      </c>
      <c r="P8" s="4">
        <v>29</v>
      </c>
      <c r="Q8">
        <v>20.5</v>
      </c>
      <c r="R8" s="3">
        <v>62.8</v>
      </c>
      <c r="S8" s="3">
        <v>57</v>
      </c>
      <c r="T8" s="6">
        <v>30.634146341463413</v>
      </c>
    </row>
    <row r="9" spans="1:20" x14ac:dyDescent="0.45">
      <c r="A9" s="3" t="s">
        <v>10</v>
      </c>
      <c r="B9" s="3">
        <v>8</v>
      </c>
      <c r="C9" s="3">
        <v>3.44</v>
      </c>
      <c r="D9" s="3">
        <v>7.4</v>
      </c>
      <c r="E9" s="5"/>
      <c r="F9" s="3" t="s">
        <v>13</v>
      </c>
      <c r="G9" s="4">
        <v>2.31</v>
      </c>
      <c r="H9" s="5"/>
      <c r="I9" s="5"/>
      <c r="J9">
        <v>3</v>
      </c>
      <c r="K9">
        <f t="shared" si="0"/>
        <v>1.1299999999999999</v>
      </c>
      <c r="L9" s="12">
        <f t="shared" si="1"/>
        <v>32.848837209302324</v>
      </c>
      <c r="M9">
        <v>7.4</v>
      </c>
      <c r="N9">
        <v>0</v>
      </c>
      <c r="O9" s="11">
        <f t="shared" si="2"/>
        <v>100</v>
      </c>
      <c r="P9" s="4">
        <v>3</v>
      </c>
      <c r="Q9">
        <v>11.1</v>
      </c>
      <c r="R9" s="3">
        <v>64.8</v>
      </c>
      <c r="S9" s="3">
        <v>28.4</v>
      </c>
      <c r="T9" s="6">
        <v>58.378378378378379</v>
      </c>
    </row>
    <row r="10" spans="1:20" x14ac:dyDescent="0.45">
      <c r="A10" s="3" t="s">
        <v>14</v>
      </c>
      <c r="B10" s="3">
        <v>9</v>
      </c>
      <c r="C10" s="3">
        <v>6.81</v>
      </c>
      <c r="D10" s="3">
        <v>9.5</v>
      </c>
      <c r="E10" s="3">
        <v>8.3000000000000007</v>
      </c>
      <c r="F10" s="3" t="s">
        <v>11</v>
      </c>
      <c r="G10" s="5"/>
      <c r="H10" s="5"/>
      <c r="I10" s="5"/>
      <c r="J10">
        <v>2</v>
      </c>
      <c r="K10" t="s">
        <v>12</v>
      </c>
      <c r="L10" t="s">
        <v>12</v>
      </c>
      <c r="M10">
        <v>9.5</v>
      </c>
      <c r="N10">
        <v>8.3000000000000007</v>
      </c>
      <c r="O10" s="11">
        <f t="shared" si="2"/>
        <v>100</v>
      </c>
      <c r="P10" s="4">
        <v>2</v>
      </c>
      <c r="Q10">
        <v>17.3</v>
      </c>
      <c r="R10" s="3">
        <v>65.2</v>
      </c>
      <c r="S10" s="3">
        <v>1.99</v>
      </c>
      <c r="T10" s="6">
        <v>37.687861271676304</v>
      </c>
    </row>
    <row r="11" spans="1:20" x14ac:dyDescent="0.45">
      <c r="A11" s="3" t="s">
        <v>14</v>
      </c>
      <c r="B11" s="3">
        <v>10</v>
      </c>
      <c r="C11" s="3">
        <v>5.52</v>
      </c>
      <c r="D11" s="3">
        <v>8.4</v>
      </c>
      <c r="E11" s="3">
        <v>7</v>
      </c>
      <c r="F11" s="3" t="s">
        <v>11</v>
      </c>
      <c r="G11" s="5"/>
      <c r="H11" s="5"/>
      <c r="I11" s="5"/>
      <c r="J11">
        <v>36</v>
      </c>
      <c r="K11" t="s">
        <v>12</v>
      </c>
      <c r="L11" t="s">
        <v>12</v>
      </c>
      <c r="M11">
        <v>8.4</v>
      </c>
      <c r="N11">
        <v>7</v>
      </c>
      <c r="O11" s="11">
        <f t="shared" si="2"/>
        <v>100</v>
      </c>
      <c r="P11" s="4">
        <v>36</v>
      </c>
      <c r="Q11">
        <v>19.7</v>
      </c>
      <c r="R11" s="3">
        <v>66.599999999999994</v>
      </c>
      <c r="S11" s="3">
        <v>27.6</v>
      </c>
      <c r="T11" s="6">
        <v>33.807106598984767</v>
      </c>
    </row>
    <row r="12" spans="1:20" x14ac:dyDescent="0.45">
      <c r="A12" s="3" t="s">
        <v>14</v>
      </c>
      <c r="B12" s="3">
        <v>11</v>
      </c>
      <c r="C12" s="3">
        <v>7.56</v>
      </c>
      <c r="D12" s="3">
        <v>9.6</v>
      </c>
      <c r="E12" s="3">
        <v>7.9</v>
      </c>
      <c r="F12" s="3" t="s">
        <v>11</v>
      </c>
      <c r="G12" s="4">
        <v>5.41</v>
      </c>
      <c r="H12" s="4">
        <v>9.1</v>
      </c>
      <c r="I12" s="4">
        <v>8</v>
      </c>
      <c r="J12">
        <v>35</v>
      </c>
      <c r="K12">
        <f t="shared" ref="K12:K17" si="3">C12-G12</f>
        <v>2.1499999999999995</v>
      </c>
      <c r="L12" s="12">
        <f t="shared" ref="L12:L17" si="4">K12/C12*100</f>
        <v>28.439153439153436</v>
      </c>
      <c r="M12">
        <v>0.5</v>
      </c>
      <c r="N12">
        <v>-9.9999999999999645E-2</v>
      </c>
      <c r="O12" s="11">
        <f t="shared" si="2"/>
        <v>5.2083333333333339</v>
      </c>
      <c r="P12" s="4">
        <v>35</v>
      </c>
      <c r="Q12">
        <v>6.7</v>
      </c>
      <c r="R12" s="3">
        <v>71</v>
      </c>
      <c r="S12" s="3">
        <v>22.7</v>
      </c>
      <c r="T12" s="6">
        <v>105.97014925373134</v>
      </c>
    </row>
    <row r="13" spans="1:20" x14ac:dyDescent="0.45">
      <c r="A13" s="3" t="s">
        <v>14</v>
      </c>
      <c r="B13" s="3">
        <v>12</v>
      </c>
      <c r="C13" s="3">
        <v>2.83</v>
      </c>
      <c r="D13" s="3">
        <v>6.7</v>
      </c>
      <c r="E13" s="3">
        <v>5.8</v>
      </c>
      <c r="F13" s="3" t="s">
        <v>11</v>
      </c>
      <c r="G13" s="4">
        <v>1.76</v>
      </c>
      <c r="H13" s="4">
        <v>6.9</v>
      </c>
      <c r="I13" s="4">
        <v>5.4</v>
      </c>
      <c r="J13">
        <v>30</v>
      </c>
      <c r="K13">
        <f t="shared" si="3"/>
        <v>1.07</v>
      </c>
      <c r="L13" s="12">
        <f t="shared" si="4"/>
        <v>37.809187279151942</v>
      </c>
      <c r="M13">
        <v>-0.20000000000000018</v>
      </c>
      <c r="N13">
        <v>0.39999999999999947</v>
      </c>
      <c r="O13" s="11">
        <f t="shared" si="2"/>
        <v>-2.9850746268656745</v>
      </c>
      <c r="P13" s="4">
        <v>30</v>
      </c>
      <c r="Q13">
        <v>14.7</v>
      </c>
      <c r="R13" s="3">
        <v>72.599999999999994</v>
      </c>
      <c r="S13" s="3">
        <v>0.112</v>
      </c>
      <c r="T13" s="6">
        <v>49.387755102040813</v>
      </c>
    </row>
    <row r="14" spans="1:20" x14ac:dyDescent="0.45">
      <c r="A14" s="3" t="s">
        <v>14</v>
      </c>
      <c r="B14" s="3">
        <v>13</v>
      </c>
      <c r="C14" s="3">
        <v>7.77</v>
      </c>
      <c r="D14" s="3">
        <v>9.1999999999999993</v>
      </c>
      <c r="E14" s="3">
        <v>7.7</v>
      </c>
      <c r="F14" s="3" t="s">
        <v>13</v>
      </c>
      <c r="G14" s="4">
        <v>6.07</v>
      </c>
      <c r="H14" s="4">
        <v>8.8000000000000007</v>
      </c>
      <c r="I14" s="4">
        <v>7.4</v>
      </c>
      <c r="J14">
        <v>34</v>
      </c>
      <c r="K14">
        <f t="shared" si="3"/>
        <v>1.6999999999999993</v>
      </c>
      <c r="L14" s="12">
        <f t="shared" si="4"/>
        <v>21.87902187902187</v>
      </c>
      <c r="M14">
        <v>0.39999999999999858</v>
      </c>
      <c r="N14">
        <v>0.29999999999999982</v>
      </c>
      <c r="O14" s="11">
        <f t="shared" si="2"/>
        <v>4.3478260869565064</v>
      </c>
      <c r="P14" s="4">
        <v>34</v>
      </c>
      <c r="Q14">
        <v>13.299999999999999</v>
      </c>
      <c r="R14" s="3">
        <v>75.400000000000006</v>
      </c>
      <c r="S14" s="3">
        <v>48</v>
      </c>
      <c r="T14" s="6">
        <v>56.69172932330828</v>
      </c>
    </row>
    <row r="15" spans="1:20" x14ac:dyDescent="0.45">
      <c r="A15" s="3" t="s">
        <v>14</v>
      </c>
      <c r="B15" s="3">
        <v>14</v>
      </c>
      <c r="C15" s="3">
        <v>3.71</v>
      </c>
      <c r="D15" s="3">
        <v>7.7</v>
      </c>
      <c r="E15" s="3">
        <v>6.6</v>
      </c>
      <c r="F15" s="3" t="s">
        <v>13</v>
      </c>
      <c r="G15" s="4">
        <v>2.4300000000000002</v>
      </c>
      <c r="H15" s="4">
        <v>7.1</v>
      </c>
      <c r="I15" s="4">
        <v>6.3</v>
      </c>
      <c r="J15">
        <v>22</v>
      </c>
      <c r="K15">
        <f t="shared" si="3"/>
        <v>1.2799999999999998</v>
      </c>
      <c r="L15" s="12">
        <f t="shared" si="4"/>
        <v>34.501347708894876</v>
      </c>
      <c r="M15">
        <v>0.60000000000000053</v>
      </c>
      <c r="N15">
        <v>0.29999999999999982</v>
      </c>
      <c r="O15" s="11">
        <f t="shared" si="2"/>
        <v>7.7922077922077992</v>
      </c>
      <c r="P15" s="4">
        <v>22</v>
      </c>
      <c r="Q15">
        <v>17.3</v>
      </c>
      <c r="R15" s="3">
        <v>77</v>
      </c>
      <c r="S15" s="3">
        <v>0.23400000000000001</v>
      </c>
      <c r="T15" s="6">
        <v>44.508670520231213</v>
      </c>
    </row>
    <row r="16" spans="1:20" x14ac:dyDescent="0.45">
      <c r="A16" s="3" t="s">
        <v>14</v>
      </c>
      <c r="B16" s="3">
        <v>15</v>
      </c>
      <c r="C16" s="3">
        <v>5.94</v>
      </c>
      <c r="D16" s="3">
        <v>8.6999999999999993</v>
      </c>
      <c r="E16" s="3">
        <v>7.3</v>
      </c>
      <c r="F16" s="3" t="s">
        <v>13</v>
      </c>
      <c r="G16" s="4">
        <v>4.34</v>
      </c>
      <c r="H16" s="4">
        <v>8.3000000000000007</v>
      </c>
      <c r="I16" s="4">
        <v>7.4</v>
      </c>
      <c r="J16">
        <v>7</v>
      </c>
      <c r="K16">
        <f t="shared" si="3"/>
        <v>1.6000000000000005</v>
      </c>
      <c r="L16" s="12">
        <f t="shared" si="4"/>
        <v>26.936026936026941</v>
      </c>
      <c r="M16">
        <v>0.39999999999999858</v>
      </c>
      <c r="N16">
        <v>-0.10000000000000053</v>
      </c>
      <c r="O16" s="11">
        <f t="shared" si="2"/>
        <v>4.5977011494252711</v>
      </c>
      <c r="P16" s="4">
        <v>7</v>
      </c>
      <c r="Q16">
        <v>6.8</v>
      </c>
      <c r="R16" s="3">
        <v>78.2</v>
      </c>
      <c r="S16" s="3">
        <v>9.52</v>
      </c>
      <c r="T16" s="6">
        <v>115</v>
      </c>
    </row>
    <row r="17" spans="1:20" x14ac:dyDescent="0.45">
      <c r="A17" s="3" t="s">
        <v>14</v>
      </c>
      <c r="B17" s="3">
        <v>16</v>
      </c>
      <c r="C17" s="3">
        <v>6.04</v>
      </c>
      <c r="D17" s="3">
        <v>8.6999999999999993</v>
      </c>
      <c r="E17" s="3">
        <v>7.3</v>
      </c>
      <c r="F17" s="3" t="s">
        <v>13</v>
      </c>
      <c r="G17" s="4">
        <v>4.01</v>
      </c>
      <c r="H17" s="4">
        <v>7.9</v>
      </c>
      <c r="I17" s="4">
        <v>6.8</v>
      </c>
      <c r="J17">
        <v>20</v>
      </c>
      <c r="K17">
        <f t="shared" si="3"/>
        <v>2.0300000000000002</v>
      </c>
      <c r="L17" s="12">
        <f t="shared" si="4"/>
        <v>33.609271523178812</v>
      </c>
      <c r="M17">
        <v>0.79999999999999893</v>
      </c>
      <c r="N17">
        <v>0.5</v>
      </c>
      <c r="O17" s="11">
        <f t="shared" si="2"/>
        <v>9.1954022988505635</v>
      </c>
      <c r="P17" s="4">
        <v>20</v>
      </c>
      <c r="Q17">
        <v>13.700000000000001</v>
      </c>
      <c r="R17" s="3">
        <v>81.400000000000006</v>
      </c>
      <c r="S17" s="3">
        <v>6.12</v>
      </c>
      <c r="T17" s="6">
        <v>59.416058394160586</v>
      </c>
    </row>
    <row r="18" spans="1:20" x14ac:dyDescent="0.45">
      <c r="A18" s="3" t="s">
        <v>15</v>
      </c>
      <c r="B18" s="3">
        <v>17</v>
      </c>
      <c r="C18" s="3">
        <v>5.6</v>
      </c>
      <c r="D18" s="3">
        <v>8.6</v>
      </c>
      <c r="E18" s="3">
        <v>7.4</v>
      </c>
      <c r="F18" s="3" t="s">
        <v>11</v>
      </c>
      <c r="G18" s="5"/>
      <c r="H18" s="5"/>
      <c r="I18" s="5"/>
      <c r="J18">
        <v>28</v>
      </c>
      <c r="K18" t="s">
        <v>12</v>
      </c>
      <c r="L18" t="s">
        <v>12</v>
      </c>
      <c r="M18">
        <v>8.6</v>
      </c>
      <c r="N18">
        <v>7.4</v>
      </c>
      <c r="O18" s="11">
        <f t="shared" si="2"/>
        <v>100</v>
      </c>
      <c r="P18" s="4">
        <v>28</v>
      </c>
      <c r="Q18">
        <v>7.1000000000000005</v>
      </c>
      <c r="R18" s="3">
        <v>102</v>
      </c>
      <c r="S18" s="3">
        <v>1.48</v>
      </c>
      <c r="T18" s="6">
        <v>143.66197183098589</v>
      </c>
    </row>
    <row r="19" spans="1:20" x14ac:dyDescent="0.45">
      <c r="A19" s="3" t="s">
        <v>15</v>
      </c>
      <c r="B19" s="3">
        <v>18</v>
      </c>
      <c r="C19" s="3">
        <v>6.58</v>
      </c>
      <c r="D19" s="3">
        <v>9.3000000000000007</v>
      </c>
      <c r="E19" s="3">
        <v>7.8</v>
      </c>
      <c r="F19" s="3" t="s">
        <v>11</v>
      </c>
      <c r="G19" s="5"/>
      <c r="H19" s="5"/>
      <c r="I19" s="5"/>
      <c r="J19">
        <v>15</v>
      </c>
      <c r="K19" t="s">
        <v>12</v>
      </c>
      <c r="L19" t="s">
        <v>12</v>
      </c>
      <c r="M19">
        <v>9.3000000000000007</v>
      </c>
      <c r="N19">
        <v>7.8</v>
      </c>
      <c r="O19" s="11">
        <f t="shared" si="2"/>
        <v>100</v>
      </c>
      <c r="P19" s="4">
        <v>15</v>
      </c>
      <c r="Q19">
        <v>6.7</v>
      </c>
      <c r="R19" s="3">
        <v>104</v>
      </c>
      <c r="S19" s="3">
        <v>1.76</v>
      </c>
      <c r="T19" s="6">
        <v>155.22388059701493</v>
      </c>
    </row>
    <row r="20" spans="1:20" x14ac:dyDescent="0.45">
      <c r="A20" s="3" t="s">
        <v>15</v>
      </c>
      <c r="B20" s="3">
        <v>19</v>
      </c>
      <c r="C20" s="3">
        <v>4.49</v>
      </c>
      <c r="D20" s="3">
        <v>8.4</v>
      </c>
      <c r="E20" s="3">
        <v>7</v>
      </c>
      <c r="F20" s="3" t="s">
        <v>11</v>
      </c>
      <c r="G20" s="5"/>
      <c r="H20" s="5"/>
      <c r="I20" s="5"/>
      <c r="J20">
        <v>32</v>
      </c>
      <c r="K20" t="s">
        <v>12</v>
      </c>
      <c r="L20" t="s">
        <v>12</v>
      </c>
      <c r="M20">
        <v>8.4</v>
      </c>
      <c r="N20">
        <v>7</v>
      </c>
      <c r="O20" s="11">
        <f t="shared" si="2"/>
        <v>100</v>
      </c>
      <c r="P20" s="4">
        <v>32</v>
      </c>
      <c r="Q20">
        <v>12.7</v>
      </c>
      <c r="R20" s="3">
        <v>112</v>
      </c>
      <c r="S20" s="3">
        <v>0.77400000000000002</v>
      </c>
      <c r="T20" s="6">
        <v>88.188976377952756</v>
      </c>
    </row>
    <row r="21" spans="1:20" x14ac:dyDescent="0.45">
      <c r="A21" s="3" t="s">
        <v>15</v>
      </c>
      <c r="B21" s="3">
        <v>20</v>
      </c>
      <c r="C21" s="3">
        <v>4.2300000000000004</v>
      </c>
      <c r="D21" s="3">
        <v>8.1999999999999993</v>
      </c>
      <c r="E21" s="3">
        <v>6.9</v>
      </c>
      <c r="F21" s="3" t="s">
        <v>11</v>
      </c>
      <c r="G21" s="5"/>
      <c r="H21" s="5"/>
      <c r="I21" s="5"/>
      <c r="J21">
        <v>25</v>
      </c>
      <c r="K21" t="s">
        <v>12</v>
      </c>
      <c r="L21" t="s">
        <v>12</v>
      </c>
      <c r="M21">
        <v>8.1999999999999993</v>
      </c>
      <c r="N21">
        <v>6.9</v>
      </c>
      <c r="O21" s="11">
        <f t="shared" si="2"/>
        <v>100</v>
      </c>
      <c r="P21" s="4">
        <v>25</v>
      </c>
      <c r="Q21">
        <v>9.7999999999999989</v>
      </c>
      <c r="R21" s="3">
        <v>112</v>
      </c>
      <c r="S21" s="3">
        <v>68.2</v>
      </c>
      <c r="T21" s="6">
        <v>114.28571428571431</v>
      </c>
    </row>
    <row r="22" spans="1:20" x14ac:dyDescent="0.45">
      <c r="A22" s="3" t="s">
        <v>15</v>
      </c>
      <c r="B22" s="3">
        <v>21</v>
      </c>
      <c r="C22" s="3">
        <v>4.47</v>
      </c>
      <c r="D22" s="3">
        <v>8.4</v>
      </c>
      <c r="E22" s="3">
        <v>7.2</v>
      </c>
      <c r="F22" s="3" t="s">
        <v>13</v>
      </c>
      <c r="G22" s="5"/>
      <c r="H22" s="5"/>
      <c r="I22" s="5"/>
      <c r="J22">
        <v>18</v>
      </c>
      <c r="K22" t="s">
        <v>12</v>
      </c>
      <c r="L22" t="s">
        <v>12</v>
      </c>
      <c r="M22">
        <v>8.4</v>
      </c>
      <c r="N22">
        <v>7.2</v>
      </c>
      <c r="O22" s="11">
        <f t="shared" si="2"/>
        <v>100</v>
      </c>
      <c r="P22" s="4">
        <v>18</v>
      </c>
      <c r="Q22">
        <v>16.100000000000001</v>
      </c>
      <c r="R22" s="3">
        <v>112</v>
      </c>
      <c r="S22" s="3">
        <v>128</v>
      </c>
      <c r="T22" s="6">
        <v>69.565217391304344</v>
      </c>
    </row>
    <row r="23" spans="1:20" x14ac:dyDescent="0.45">
      <c r="A23" s="3" t="s">
        <v>15</v>
      </c>
      <c r="B23" s="3">
        <v>22</v>
      </c>
      <c r="C23" s="3">
        <v>5.34</v>
      </c>
      <c r="D23" s="3">
        <v>8.8000000000000007</v>
      </c>
      <c r="E23" s="3">
        <v>6.9</v>
      </c>
      <c r="F23" s="3" t="s">
        <v>13</v>
      </c>
      <c r="G23" s="5"/>
      <c r="H23" s="5"/>
      <c r="I23" s="5"/>
      <c r="J23">
        <v>33</v>
      </c>
      <c r="K23" t="s">
        <v>12</v>
      </c>
      <c r="L23" t="s">
        <v>12</v>
      </c>
      <c r="M23">
        <v>8.8000000000000007</v>
      </c>
      <c r="N23">
        <v>6.9</v>
      </c>
      <c r="O23" s="11">
        <f t="shared" si="2"/>
        <v>100</v>
      </c>
      <c r="P23" s="4">
        <v>33</v>
      </c>
      <c r="Q23">
        <v>19.400000000000002</v>
      </c>
      <c r="R23" s="3">
        <v>118</v>
      </c>
      <c r="S23" s="3">
        <v>26.8</v>
      </c>
      <c r="T23" s="6">
        <v>60.824742268041234</v>
      </c>
    </row>
    <row r="24" spans="1:20" x14ac:dyDescent="0.45">
      <c r="A24" s="3" t="s">
        <v>15</v>
      </c>
      <c r="B24" s="3">
        <v>23</v>
      </c>
      <c r="C24" s="3">
        <v>3.93</v>
      </c>
      <c r="D24" s="3">
        <v>7.5</v>
      </c>
      <c r="E24" s="3">
        <v>6.7</v>
      </c>
      <c r="F24" s="3" t="s">
        <v>13</v>
      </c>
      <c r="G24" s="5"/>
      <c r="H24" s="5"/>
      <c r="I24" s="5"/>
      <c r="J24">
        <v>12</v>
      </c>
      <c r="K24" t="s">
        <v>12</v>
      </c>
      <c r="L24" t="s">
        <v>12</v>
      </c>
      <c r="M24">
        <v>7.5</v>
      </c>
      <c r="N24">
        <v>6.7</v>
      </c>
      <c r="O24" s="11">
        <f t="shared" si="2"/>
        <v>100</v>
      </c>
      <c r="P24" s="4">
        <v>12</v>
      </c>
      <c r="Q24">
        <v>10.9</v>
      </c>
      <c r="R24" s="3">
        <v>176</v>
      </c>
      <c r="S24" s="3">
        <v>27.2</v>
      </c>
      <c r="T24" s="6">
        <v>161.46788990825686</v>
      </c>
    </row>
    <row r="25" spans="1:20" x14ac:dyDescent="0.45">
      <c r="A25" s="3" t="s">
        <v>15</v>
      </c>
      <c r="B25" s="3">
        <v>24</v>
      </c>
      <c r="C25" s="3">
        <v>6.94</v>
      </c>
      <c r="D25" s="3">
        <v>9.5</v>
      </c>
      <c r="E25" s="3">
        <v>8.4</v>
      </c>
      <c r="F25" s="3" t="s">
        <v>13</v>
      </c>
      <c r="G25" s="5"/>
      <c r="H25" s="5"/>
      <c r="I25" s="5"/>
      <c r="J25">
        <v>27</v>
      </c>
      <c r="K25" t="s">
        <v>12</v>
      </c>
      <c r="L25" t="s">
        <v>12</v>
      </c>
      <c r="M25">
        <v>9.5</v>
      </c>
      <c r="N25">
        <v>8.4</v>
      </c>
      <c r="O25" s="11">
        <f t="shared" si="2"/>
        <v>100</v>
      </c>
      <c r="P25" s="4">
        <v>27</v>
      </c>
      <c r="Q25">
        <v>8.2000000000000011</v>
      </c>
      <c r="R25" s="3">
        <v>187</v>
      </c>
      <c r="S25" s="3">
        <v>15</v>
      </c>
      <c r="T25" s="6">
        <v>228.04878048780483</v>
      </c>
    </row>
    <row r="26" spans="1:20" x14ac:dyDescent="0.45">
      <c r="A26" s="3" t="s">
        <v>16</v>
      </c>
      <c r="B26" s="3">
        <v>25</v>
      </c>
      <c r="C26" s="3">
        <v>6.71</v>
      </c>
      <c r="D26" s="3">
        <v>9.8000000000000007</v>
      </c>
      <c r="E26" s="3">
        <v>8.3000000000000007</v>
      </c>
      <c r="F26" s="3" t="s">
        <v>11</v>
      </c>
      <c r="G26" s="4">
        <v>4.25</v>
      </c>
      <c r="H26" s="4">
        <v>9</v>
      </c>
      <c r="I26" s="4">
        <v>7.4</v>
      </c>
      <c r="J26">
        <v>37</v>
      </c>
      <c r="K26">
        <f t="shared" ref="K26:K41" si="5">C26-G26</f>
        <v>2.46</v>
      </c>
      <c r="L26" s="12">
        <f t="shared" ref="L26:L43" si="6">K26/C26*100</f>
        <v>36.661698956780924</v>
      </c>
      <c r="M26">
        <v>0.80000000000000071</v>
      </c>
      <c r="N26">
        <v>0.90000000000000036</v>
      </c>
      <c r="O26" s="11">
        <f t="shared" si="2"/>
        <v>8.1632653061224545</v>
      </c>
      <c r="P26" s="4">
        <v>37</v>
      </c>
      <c r="Q26">
        <v>10.9</v>
      </c>
      <c r="R26" s="3">
        <v>187</v>
      </c>
      <c r="S26" s="3">
        <v>25.6</v>
      </c>
      <c r="T26" s="6">
        <v>171.55963302752295</v>
      </c>
    </row>
    <row r="27" spans="1:20" x14ac:dyDescent="0.45">
      <c r="A27" s="3" t="s">
        <v>16</v>
      </c>
      <c r="B27" s="3">
        <v>26</v>
      </c>
      <c r="C27" s="3">
        <v>5.87</v>
      </c>
      <c r="D27" s="3">
        <v>8.9</v>
      </c>
      <c r="E27" s="3">
        <v>7.7</v>
      </c>
      <c r="F27" s="3" t="s">
        <v>11</v>
      </c>
      <c r="G27" s="4">
        <v>3.34</v>
      </c>
      <c r="H27" s="4">
        <v>8.4</v>
      </c>
      <c r="I27" s="4">
        <v>6.9</v>
      </c>
      <c r="J27">
        <v>26</v>
      </c>
      <c r="K27">
        <f t="shared" si="5"/>
        <v>2.5300000000000002</v>
      </c>
      <c r="L27" s="12">
        <f t="shared" si="6"/>
        <v>43.100511073253841</v>
      </c>
      <c r="M27">
        <v>0.5</v>
      </c>
      <c r="N27">
        <v>0.79999999999999982</v>
      </c>
      <c r="O27" s="11">
        <f t="shared" si="2"/>
        <v>5.6179775280898872</v>
      </c>
      <c r="P27" s="4">
        <v>26</v>
      </c>
      <c r="Q27">
        <v>11.9</v>
      </c>
      <c r="R27" s="3">
        <v>202</v>
      </c>
      <c r="S27" s="3">
        <v>13.1</v>
      </c>
      <c r="T27" s="6">
        <v>169.74789915966386</v>
      </c>
    </row>
    <row r="28" spans="1:20" x14ac:dyDescent="0.45">
      <c r="A28" s="3" t="s">
        <v>16</v>
      </c>
      <c r="B28" s="3">
        <v>27</v>
      </c>
      <c r="C28" s="3">
        <v>4.74</v>
      </c>
      <c r="D28" s="3">
        <v>8.5</v>
      </c>
      <c r="E28" s="3">
        <v>7</v>
      </c>
      <c r="F28" s="3" t="s">
        <v>11</v>
      </c>
      <c r="G28" s="4">
        <v>2.85</v>
      </c>
      <c r="H28" s="4">
        <v>7.1</v>
      </c>
      <c r="I28" s="4">
        <v>6.3</v>
      </c>
      <c r="J28">
        <v>39</v>
      </c>
      <c r="K28">
        <f t="shared" si="5"/>
        <v>1.8900000000000001</v>
      </c>
      <c r="L28" s="12">
        <f t="shared" si="6"/>
        <v>39.87341772151899</v>
      </c>
      <c r="M28">
        <v>1.4000000000000004</v>
      </c>
      <c r="N28">
        <v>0.70000000000000018</v>
      </c>
      <c r="O28" s="11">
        <f t="shared" si="2"/>
        <v>16.470588235294123</v>
      </c>
      <c r="P28" s="4">
        <v>39</v>
      </c>
      <c r="Q28">
        <v>11.5</v>
      </c>
      <c r="R28" s="3">
        <v>203</v>
      </c>
      <c r="S28" s="3">
        <v>18.600000000000001</v>
      </c>
      <c r="T28" s="6">
        <v>176.52173913043475</v>
      </c>
    </row>
    <row r="29" spans="1:20" x14ac:dyDescent="0.45">
      <c r="A29" s="3" t="s">
        <v>16</v>
      </c>
      <c r="B29" s="3">
        <v>28</v>
      </c>
      <c r="C29" s="3">
        <v>5.99</v>
      </c>
      <c r="D29" s="3">
        <v>9.4</v>
      </c>
      <c r="E29" s="3">
        <v>7.9</v>
      </c>
      <c r="F29" s="3" t="s">
        <v>11</v>
      </c>
      <c r="G29" s="4">
        <v>3.53</v>
      </c>
      <c r="H29" s="4">
        <v>9.1</v>
      </c>
      <c r="I29" s="4">
        <v>7.4</v>
      </c>
      <c r="J29">
        <v>9</v>
      </c>
      <c r="K29">
        <f t="shared" si="5"/>
        <v>2.4600000000000004</v>
      </c>
      <c r="L29" s="12">
        <f t="shared" si="6"/>
        <v>41.068447412353933</v>
      </c>
      <c r="M29">
        <v>0.30000000000000071</v>
      </c>
      <c r="N29">
        <v>0.5</v>
      </c>
      <c r="O29" s="11">
        <f t="shared" si="2"/>
        <v>3.1914893617021352</v>
      </c>
      <c r="P29" s="4">
        <v>9</v>
      </c>
      <c r="Q29">
        <v>14.7</v>
      </c>
      <c r="R29" s="3">
        <v>227</v>
      </c>
      <c r="S29" s="3">
        <v>38</v>
      </c>
      <c r="T29" s="6">
        <v>154.42176870748301</v>
      </c>
    </row>
    <row r="30" spans="1:20" x14ac:dyDescent="0.45">
      <c r="A30" s="3" t="s">
        <v>16</v>
      </c>
      <c r="B30" s="3">
        <v>29</v>
      </c>
      <c r="C30" s="3">
        <v>6.18</v>
      </c>
      <c r="D30" s="3">
        <v>9.3000000000000007</v>
      </c>
      <c r="E30" s="3">
        <v>8.1</v>
      </c>
      <c r="F30" s="3" t="s">
        <v>13</v>
      </c>
      <c r="G30" s="4">
        <v>4</v>
      </c>
      <c r="H30" s="4">
        <v>8.9</v>
      </c>
      <c r="I30" s="4">
        <v>7.3</v>
      </c>
      <c r="J30">
        <v>11</v>
      </c>
      <c r="K30">
        <f t="shared" si="5"/>
        <v>2.1799999999999997</v>
      </c>
      <c r="L30" s="12">
        <f t="shared" si="6"/>
        <v>35.275080906148865</v>
      </c>
      <c r="M30">
        <v>0.40000000000000036</v>
      </c>
      <c r="N30">
        <v>0.79999999999999982</v>
      </c>
      <c r="O30" s="11">
        <f t="shared" si="2"/>
        <v>4.3010752688172085</v>
      </c>
      <c r="P30" s="4">
        <v>11</v>
      </c>
      <c r="Q30">
        <v>14.3</v>
      </c>
      <c r="R30" s="3">
        <v>231</v>
      </c>
      <c r="S30" s="3">
        <v>5.86</v>
      </c>
      <c r="T30" s="6">
        <v>161.53846153846155</v>
      </c>
    </row>
    <row r="31" spans="1:20" x14ac:dyDescent="0.45">
      <c r="A31" s="3" t="s">
        <v>16</v>
      </c>
      <c r="B31" s="3">
        <v>30</v>
      </c>
      <c r="C31" s="3">
        <v>9.23</v>
      </c>
      <c r="D31" s="3">
        <v>10.6</v>
      </c>
      <c r="E31" s="3">
        <v>9.1999999999999993</v>
      </c>
      <c r="F31" s="3" t="s">
        <v>13</v>
      </c>
      <c r="G31" s="4">
        <v>6.07</v>
      </c>
      <c r="H31" s="4">
        <v>9.8000000000000007</v>
      </c>
      <c r="I31" s="4">
        <v>8.1999999999999993</v>
      </c>
      <c r="J31">
        <v>38</v>
      </c>
      <c r="K31">
        <f t="shared" si="5"/>
        <v>3.16</v>
      </c>
      <c r="L31" s="12">
        <f t="shared" si="6"/>
        <v>34.236186348862404</v>
      </c>
      <c r="M31">
        <v>0.79999999999999893</v>
      </c>
      <c r="N31">
        <v>1</v>
      </c>
      <c r="O31" s="11">
        <f t="shared" si="2"/>
        <v>7.547169811320745</v>
      </c>
      <c r="P31" s="4">
        <v>38</v>
      </c>
      <c r="Q31">
        <v>20.7</v>
      </c>
      <c r="R31" s="3">
        <v>249</v>
      </c>
      <c r="S31" s="3">
        <v>103</v>
      </c>
      <c r="T31" s="6">
        <v>120.28985507246377</v>
      </c>
    </row>
    <row r="32" spans="1:20" x14ac:dyDescent="0.45">
      <c r="A32" s="3" t="s">
        <v>16</v>
      </c>
      <c r="B32" s="3">
        <v>31</v>
      </c>
      <c r="C32" s="3">
        <v>8.51</v>
      </c>
      <c r="D32" s="3">
        <v>10.199999999999999</v>
      </c>
      <c r="E32" s="3">
        <v>8.6999999999999993</v>
      </c>
      <c r="F32" s="3" t="s">
        <v>13</v>
      </c>
      <c r="G32" s="4">
        <v>6.26</v>
      </c>
      <c r="H32" s="4">
        <v>9.6999999999999993</v>
      </c>
      <c r="I32" s="4">
        <v>8.1999999999999993</v>
      </c>
      <c r="J32">
        <v>19</v>
      </c>
      <c r="K32">
        <f t="shared" si="5"/>
        <v>2.25</v>
      </c>
      <c r="L32" s="12">
        <f t="shared" si="6"/>
        <v>26.439482961222094</v>
      </c>
      <c r="M32">
        <v>0.5</v>
      </c>
      <c r="N32">
        <v>0.5</v>
      </c>
      <c r="O32" s="11">
        <f t="shared" si="2"/>
        <v>4.9019607843137258</v>
      </c>
      <c r="P32" s="4">
        <v>19</v>
      </c>
      <c r="Q32">
        <v>11.799999999999999</v>
      </c>
      <c r="R32" s="3">
        <v>253</v>
      </c>
      <c r="S32" s="3">
        <v>21.8</v>
      </c>
      <c r="T32" s="6">
        <v>214.40677966101697</v>
      </c>
    </row>
    <row r="33" spans="1:20" x14ac:dyDescent="0.45">
      <c r="A33" s="3" t="s">
        <v>16</v>
      </c>
      <c r="B33" s="3">
        <v>32</v>
      </c>
      <c r="C33" s="3">
        <v>7.44</v>
      </c>
      <c r="D33" s="3">
        <v>9.9</v>
      </c>
      <c r="E33" s="3">
        <v>8.9</v>
      </c>
      <c r="F33" s="3" t="s">
        <v>13</v>
      </c>
      <c r="G33" s="4">
        <v>4.76</v>
      </c>
      <c r="H33" s="4">
        <v>9.1</v>
      </c>
      <c r="I33" s="4">
        <v>7.6</v>
      </c>
      <c r="J33">
        <v>10</v>
      </c>
      <c r="K33">
        <f t="shared" si="5"/>
        <v>2.6800000000000006</v>
      </c>
      <c r="L33" s="12">
        <f t="shared" si="6"/>
        <v>36.021505376344095</v>
      </c>
      <c r="M33">
        <v>0.80000000000000071</v>
      </c>
      <c r="N33">
        <v>1.3000000000000007</v>
      </c>
      <c r="O33" s="11">
        <f t="shared" si="2"/>
        <v>8.0808080808080867</v>
      </c>
      <c r="P33" s="4">
        <v>10</v>
      </c>
      <c r="Q33">
        <v>13.899999999999999</v>
      </c>
      <c r="R33" s="3">
        <v>278</v>
      </c>
      <c r="S33" s="3">
        <v>41.6</v>
      </c>
      <c r="T33" s="6">
        <v>200.00000000000003</v>
      </c>
    </row>
    <row r="34" spans="1:20" x14ac:dyDescent="0.45">
      <c r="A34" s="3" t="s">
        <v>17</v>
      </c>
      <c r="B34" s="3">
        <v>33</v>
      </c>
      <c r="C34" s="3">
        <v>6.94</v>
      </c>
      <c r="D34" s="3">
        <v>9.8000000000000007</v>
      </c>
      <c r="E34" s="3">
        <v>8.4</v>
      </c>
      <c r="F34" s="3" t="s">
        <v>11</v>
      </c>
      <c r="G34" s="4">
        <v>4.1399999999999997</v>
      </c>
      <c r="H34" s="4">
        <v>8.9</v>
      </c>
      <c r="I34" s="4">
        <v>7.2</v>
      </c>
      <c r="J34">
        <v>21</v>
      </c>
      <c r="K34">
        <f t="shared" si="5"/>
        <v>2.8000000000000007</v>
      </c>
      <c r="L34" s="12">
        <f t="shared" si="6"/>
        <v>40.345821325648423</v>
      </c>
      <c r="M34">
        <v>0.90000000000000036</v>
      </c>
      <c r="N34">
        <v>1.2000000000000002</v>
      </c>
      <c r="O34" s="11">
        <f t="shared" si="2"/>
        <v>9.1836734693877577</v>
      </c>
      <c r="P34" s="4">
        <v>21</v>
      </c>
      <c r="Q34">
        <v>14</v>
      </c>
      <c r="R34" s="3">
        <v>302</v>
      </c>
      <c r="S34" s="3">
        <v>2.58</v>
      </c>
      <c r="T34" s="6">
        <v>215.71428571428572</v>
      </c>
    </row>
    <row r="35" spans="1:20" x14ac:dyDescent="0.45">
      <c r="A35" s="3" t="s">
        <v>17</v>
      </c>
      <c r="B35" s="3">
        <v>34</v>
      </c>
      <c r="C35" s="3">
        <v>8.09</v>
      </c>
      <c r="D35" s="3">
        <v>9.6999999999999993</v>
      </c>
      <c r="E35" s="3">
        <v>8.5</v>
      </c>
      <c r="F35" s="3" t="s">
        <v>11</v>
      </c>
      <c r="G35" s="4">
        <v>4.99</v>
      </c>
      <c r="H35" s="4">
        <v>9.1</v>
      </c>
      <c r="I35" s="4">
        <v>7.4</v>
      </c>
      <c r="J35">
        <v>23</v>
      </c>
      <c r="K35">
        <f t="shared" si="5"/>
        <v>3.0999999999999996</v>
      </c>
      <c r="L35" s="12">
        <f t="shared" si="6"/>
        <v>38.318912237330032</v>
      </c>
      <c r="M35">
        <v>0.59999999999999964</v>
      </c>
      <c r="N35">
        <v>1.0999999999999996</v>
      </c>
      <c r="O35" s="11">
        <f t="shared" si="2"/>
        <v>6.185567010309275</v>
      </c>
      <c r="P35" s="4">
        <v>23</v>
      </c>
      <c r="Q35">
        <v>17.399999999999999</v>
      </c>
      <c r="R35" s="3">
        <v>308</v>
      </c>
      <c r="S35" s="3">
        <v>44.1</v>
      </c>
      <c r="T35" s="6">
        <v>177.01149425287358</v>
      </c>
    </row>
    <row r="36" spans="1:20" x14ac:dyDescent="0.45">
      <c r="A36" s="3" t="s">
        <v>17</v>
      </c>
      <c r="B36" s="3">
        <v>35</v>
      </c>
      <c r="C36" s="3">
        <v>5.29</v>
      </c>
      <c r="D36" s="3">
        <v>8.4</v>
      </c>
      <c r="E36" s="3">
        <v>6.7</v>
      </c>
      <c r="F36" s="3" t="s">
        <v>11</v>
      </c>
      <c r="G36" s="4">
        <v>4.26</v>
      </c>
      <c r="H36" s="4">
        <v>8.3000000000000007</v>
      </c>
      <c r="I36" s="4">
        <v>6.9</v>
      </c>
      <c r="J36">
        <v>13</v>
      </c>
      <c r="K36">
        <f t="shared" si="5"/>
        <v>1.0300000000000002</v>
      </c>
      <c r="L36" s="12">
        <f t="shared" si="6"/>
        <v>19.470699432892253</v>
      </c>
      <c r="M36">
        <v>9.9999999999999645E-2</v>
      </c>
      <c r="N36">
        <v>-0.20000000000000018</v>
      </c>
      <c r="O36" s="11">
        <f t="shared" si="2"/>
        <v>1.1904761904761862</v>
      </c>
      <c r="P36" s="4">
        <v>13</v>
      </c>
      <c r="Q36">
        <v>15.299999999999999</v>
      </c>
      <c r="R36" s="3">
        <v>327</v>
      </c>
      <c r="S36" s="3">
        <v>0.71599999999999997</v>
      </c>
      <c r="T36" s="6">
        <v>213.72549019607845</v>
      </c>
    </row>
    <row r="37" spans="1:20" x14ac:dyDescent="0.45">
      <c r="A37" s="3" t="s">
        <v>17</v>
      </c>
      <c r="B37" s="3">
        <v>36</v>
      </c>
      <c r="C37" s="3">
        <v>6.32</v>
      </c>
      <c r="D37" s="3">
        <v>8.3000000000000007</v>
      </c>
      <c r="E37" s="3">
        <v>6.9</v>
      </c>
      <c r="F37" s="3" t="s">
        <v>11</v>
      </c>
      <c r="G37" s="4">
        <v>3.77</v>
      </c>
      <c r="H37" s="4">
        <v>8</v>
      </c>
      <c r="I37" s="4">
        <v>7.2</v>
      </c>
      <c r="J37">
        <v>14</v>
      </c>
      <c r="K37">
        <f t="shared" si="5"/>
        <v>2.5500000000000003</v>
      </c>
      <c r="L37" s="12">
        <f t="shared" si="6"/>
        <v>40.348101265822791</v>
      </c>
      <c r="M37">
        <v>0.30000000000000071</v>
      </c>
      <c r="N37">
        <v>-0.29999999999999982</v>
      </c>
      <c r="O37" s="11">
        <f t="shared" si="2"/>
        <v>3.6144578313253093</v>
      </c>
      <c r="P37" s="4">
        <v>14</v>
      </c>
      <c r="Q37">
        <v>14.200000000000001</v>
      </c>
      <c r="R37" s="3">
        <v>331</v>
      </c>
      <c r="S37" s="3">
        <v>4.18</v>
      </c>
      <c r="T37" s="6">
        <v>233.09859154929575</v>
      </c>
    </row>
    <row r="38" spans="1:20" x14ac:dyDescent="0.45">
      <c r="A38" s="3" t="s">
        <v>17</v>
      </c>
      <c r="B38" s="3">
        <v>37</v>
      </c>
      <c r="C38" s="3">
        <v>6.56</v>
      </c>
      <c r="D38" s="3">
        <v>9.6</v>
      </c>
      <c r="E38" s="3">
        <v>7.7</v>
      </c>
      <c r="F38" s="3" t="s">
        <v>13</v>
      </c>
      <c r="G38" s="4">
        <v>4.59</v>
      </c>
      <c r="H38" s="4">
        <v>9</v>
      </c>
      <c r="I38" s="4">
        <v>7.6</v>
      </c>
      <c r="J38">
        <v>31</v>
      </c>
      <c r="K38">
        <f t="shared" si="5"/>
        <v>1.9699999999999998</v>
      </c>
      <c r="L38" s="12">
        <f t="shared" si="6"/>
        <v>30.030487804878049</v>
      </c>
      <c r="M38">
        <v>0.59999999999999964</v>
      </c>
      <c r="N38">
        <v>0.10000000000000053</v>
      </c>
      <c r="O38" s="11">
        <f t="shared" si="2"/>
        <v>6.2499999999999964</v>
      </c>
      <c r="P38" s="4">
        <v>31</v>
      </c>
      <c r="Q38">
        <v>16.899999999999999</v>
      </c>
      <c r="R38" s="3">
        <v>333</v>
      </c>
      <c r="S38" s="3">
        <v>9.1199999999999992</v>
      </c>
      <c r="T38" s="6">
        <v>197.04142011834321</v>
      </c>
    </row>
    <row r="39" spans="1:20" x14ac:dyDescent="0.45">
      <c r="A39" s="3" t="s">
        <v>17</v>
      </c>
      <c r="B39" s="3">
        <v>38</v>
      </c>
      <c r="C39" s="3">
        <v>4.41</v>
      </c>
      <c r="D39" s="3">
        <v>8.3000000000000007</v>
      </c>
      <c r="E39" s="3">
        <v>7.2</v>
      </c>
      <c r="F39" s="3" t="s">
        <v>13</v>
      </c>
      <c r="G39" s="4">
        <v>3.06</v>
      </c>
      <c r="H39" s="4">
        <v>8.3000000000000007</v>
      </c>
      <c r="I39" s="4">
        <v>7</v>
      </c>
      <c r="J39">
        <v>16</v>
      </c>
      <c r="K39">
        <f t="shared" si="5"/>
        <v>1.35</v>
      </c>
      <c r="L39" s="12">
        <f t="shared" si="6"/>
        <v>30.612244897959183</v>
      </c>
      <c r="M39">
        <v>0</v>
      </c>
      <c r="N39">
        <v>0.20000000000000018</v>
      </c>
      <c r="O39" s="11">
        <f t="shared" si="2"/>
        <v>0</v>
      </c>
      <c r="P39" s="4">
        <v>16</v>
      </c>
      <c r="Q39">
        <v>9.1</v>
      </c>
      <c r="R39" s="3">
        <v>336</v>
      </c>
      <c r="S39" s="3">
        <v>5.52</v>
      </c>
      <c r="T39" s="6">
        <v>369.23076923076928</v>
      </c>
    </row>
    <row r="40" spans="1:20" x14ac:dyDescent="0.45">
      <c r="A40" s="3" t="s">
        <v>17</v>
      </c>
      <c r="B40" s="3">
        <v>39</v>
      </c>
      <c r="C40" s="3">
        <v>4.12</v>
      </c>
      <c r="D40" s="3">
        <v>7.7</v>
      </c>
      <c r="E40" s="3">
        <v>6.7</v>
      </c>
      <c r="F40" s="3" t="s">
        <v>13</v>
      </c>
      <c r="G40" s="4">
        <v>3.54</v>
      </c>
      <c r="H40" s="4">
        <v>7.4</v>
      </c>
      <c r="I40" s="4">
        <v>6.5</v>
      </c>
      <c r="J40">
        <v>40</v>
      </c>
      <c r="K40">
        <f t="shared" si="5"/>
        <v>0.58000000000000007</v>
      </c>
      <c r="L40" s="12">
        <f t="shared" si="6"/>
        <v>14.077669902912623</v>
      </c>
      <c r="M40">
        <v>0.29999999999999982</v>
      </c>
      <c r="N40">
        <v>0.20000000000000018</v>
      </c>
      <c r="O40" s="11">
        <f t="shared" si="2"/>
        <v>3.8961038961038938</v>
      </c>
      <c r="P40" s="4">
        <v>40</v>
      </c>
      <c r="Q40">
        <v>9.7000000000000011</v>
      </c>
      <c r="R40" s="3">
        <v>378</v>
      </c>
      <c r="S40" s="3">
        <v>11</v>
      </c>
      <c r="T40" s="6">
        <v>389.69072164948449</v>
      </c>
    </row>
    <row r="41" spans="1:20" x14ac:dyDescent="0.45">
      <c r="A41" s="3" t="s">
        <v>17</v>
      </c>
      <c r="B41" s="3">
        <v>40</v>
      </c>
      <c r="C41" s="3">
        <v>6.67</v>
      </c>
      <c r="D41" s="3">
        <v>9.4</v>
      </c>
      <c r="E41" s="3">
        <v>8.1999999999999993</v>
      </c>
      <c r="F41" s="3" t="s">
        <v>13</v>
      </c>
      <c r="G41" s="4">
        <v>5.75</v>
      </c>
      <c r="H41" s="4">
        <v>9.1999999999999993</v>
      </c>
      <c r="I41" s="4">
        <v>7.5</v>
      </c>
      <c r="J41">
        <v>24</v>
      </c>
      <c r="K41">
        <f t="shared" si="5"/>
        <v>0.91999999999999993</v>
      </c>
      <c r="L41" s="12">
        <f t="shared" si="6"/>
        <v>13.793103448275861</v>
      </c>
      <c r="M41">
        <v>0.20000000000000107</v>
      </c>
      <c r="N41">
        <v>0.69999999999999929</v>
      </c>
      <c r="O41" s="11">
        <f t="shared" si="2"/>
        <v>2.1276595744680966</v>
      </c>
      <c r="P41" s="4">
        <v>24</v>
      </c>
      <c r="Q41">
        <v>13.2</v>
      </c>
      <c r="R41" s="3">
        <v>419</v>
      </c>
      <c r="S41" s="3">
        <v>59</v>
      </c>
      <c r="T41" s="6">
        <v>317.42424242424244</v>
      </c>
    </row>
    <row r="42" spans="1:20" x14ac:dyDescent="0.45">
      <c r="C42" s="7"/>
      <c r="D42" s="7"/>
    </row>
    <row r="43" spans="1:20" x14ac:dyDescent="0.45">
      <c r="C43" s="7"/>
      <c r="D43" s="7"/>
      <c r="L43" s="12"/>
    </row>
  </sheetData>
  <conditionalFormatting sqref="R2:S41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</dc:creator>
  <cp:lastModifiedBy>Reviewer</cp:lastModifiedBy>
  <dcterms:created xsi:type="dcterms:W3CDTF">2026-02-06T17:45:59Z</dcterms:created>
  <dcterms:modified xsi:type="dcterms:W3CDTF">2026-02-09T03:04:41Z</dcterms:modified>
</cp:coreProperties>
</file>